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3588452485ee4/Cursos_DIO/Excel_IA/"/>
    </mc:Choice>
  </mc:AlternateContent>
  <xr:revisionPtr revIDLastSave="905" documentId="8_{C3283897-9F92-40F6-B136-B23302F7248B}" xr6:coauthVersionLast="47" xr6:coauthVersionMax="47" xr10:uidLastSave="{6BF895A5-7B5E-44DA-B26E-0D44A5F80E6F}"/>
  <bookViews>
    <workbookView xWindow="-120" yWindow="-120" windowWidth="38640" windowHeight="15720" tabRatio="313" xr2:uid="{8024742F-06D9-4109-A9F5-BC44361C987F}"/>
  </bookViews>
  <sheets>
    <sheet name="simulador" sheetId="1" r:id="rId1"/>
    <sheet name="Tab_aux" sheetId="2" r:id="rId2"/>
  </sheets>
  <definedNames>
    <definedName name="Aporte">simulador!$C$15</definedName>
    <definedName name="Patrimonio">simulador!$C$18</definedName>
    <definedName name="QtsAnos">simulador!$C$16</definedName>
    <definedName name="RendCarteira">simulador!$D$11</definedName>
    <definedName name="Salario">simulador!$D$10</definedName>
    <definedName name="SugestaoInvestimento">simulador!$D$12</definedName>
    <definedName name="TaxaMensal">simulador!$C$17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5" i="1"/>
  <c r="D35" i="1" s="1"/>
  <c r="C36" i="1"/>
  <c r="D36" i="1" s="1"/>
  <c r="C37" i="1"/>
  <c r="D37" i="1" s="1"/>
  <c r="C38" i="1"/>
  <c r="C33" i="1"/>
  <c r="D33" i="1" s="1"/>
  <c r="H4" i="2"/>
  <c r="C31" i="1"/>
  <c r="C18" i="1"/>
  <c r="C20" i="1" s="1"/>
  <c r="C28" i="1"/>
  <c r="D28" i="1" s="1"/>
  <c r="D12" i="1"/>
  <c r="D34" i="1" l="1"/>
  <c r="D38" i="1"/>
  <c r="C27" i="1"/>
  <c r="D27" i="1" s="1"/>
  <c r="C24" i="1"/>
  <c r="D24" i="1" s="1"/>
  <c r="C25" i="1"/>
  <c r="D25" i="1" s="1"/>
  <c r="C26" i="1"/>
  <c r="D26" i="1" s="1"/>
  <c r="D39" i="1" l="1"/>
</calcChain>
</file>

<file path=xl/sharedStrings.xml><?xml version="1.0" encoding="utf-8"?>
<sst xmlns="http://schemas.openxmlformats.org/spreadsheetml/2006/main" count="90" uniqueCount="53">
  <si>
    <t xml:space="preserve">SIMULADOR MENSAL </t>
  </si>
  <si>
    <t>Dividendos</t>
  </si>
  <si>
    <t xml:space="preserve">Salário </t>
  </si>
  <si>
    <t xml:space="preserve">Rendimento Carteira </t>
  </si>
  <si>
    <t xml:space="preserve">Sugestão de Investimento </t>
  </si>
  <si>
    <t>CONFIGURAÇÕES</t>
  </si>
  <si>
    <t>Projeções considerando os mesmos parâmetros de investimento</t>
  </si>
  <si>
    <r>
      <t>Este simulador</t>
    </r>
    <r>
      <rPr>
        <i/>
        <sz val="8"/>
        <color theme="1"/>
        <rFont val="Aptos Narrow"/>
        <family val="2"/>
        <scheme val="minor"/>
      </rPr>
      <t xml:space="preserve"> estima o crescimento dos investimentos com base em aportes mensais e taxa de rendimento, permitindo visualizar o patrimônio acumulado e a renda mensal estimada ao longo do tempo.</t>
    </r>
  </si>
  <si>
    <t>CHAVE</t>
  </si>
  <si>
    <t>PERFIL</t>
  </si>
  <si>
    <t>TIPO DE FII</t>
  </si>
  <si>
    <t>%</t>
  </si>
  <si>
    <t>Conservador-PAPEL</t>
  </si>
  <si>
    <t>Conservador</t>
  </si>
  <si>
    <t>PAPEL</t>
  </si>
  <si>
    <t>Conservador-TIJOLO</t>
  </si>
  <si>
    <t>TIJOLO</t>
  </si>
  <si>
    <t>Moderado-TIJOLO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</si>
  <si>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</si>
  <si>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</si>
  <si>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</si>
  <si>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</si>
  <si>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</si>
  <si>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</si>
  <si>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</si>
  <si>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</si>
  <si>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</si>
  <si>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</si>
  <si>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</si>
  <si>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</si>
  <si>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</si>
  <si>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</si>
  <si>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</si>
  <si>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</si>
  <si>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</si>
  <si>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</si>
  <si>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</si>
  <si>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</si>
  <si>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</si>
  <si>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VALOR A SER INVESTIDO POR MÊS</t>
  </si>
  <si>
    <t>Percentual Sugerido</t>
  </si>
  <si>
    <t>Valores</t>
  </si>
  <si>
    <t>MODERADO</t>
  </si>
  <si>
    <t>Quanto investir por mês</t>
  </si>
  <si>
    <t>Por quantos anos</t>
  </si>
  <si>
    <t>Taxa de rendimento mensal</t>
  </si>
  <si>
    <t>Patrimônio Acumulado</t>
  </si>
  <si>
    <t>Dividendos Mensais</t>
  </si>
  <si>
    <t>Acumulado em 2 anos</t>
  </si>
  <si>
    <t>Acumulado em 5 anos</t>
  </si>
  <si>
    <t>Acumulado em 10 anos</t>
  </si>
  <si>
    <t>Acumulado em 20 anos</t>
  </si>
  <si>
    <t>Acumulado em 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</si>
</sst>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11"/>
      <color theme="0" tint="-0.499984740745262"/>
      <name val="Aptos Narrow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  <font>
      <b/>
      <sz val="18"/>
      <color theme="1"/>
      <name val="Segoe UI"/>
      <family val="2"/>
    </font>
    <font>
      <b/>
      <sz val="16"/>
      <color theme="1"/>
      <name val="Segoe UI"/>
      <family val="2"/>
    </font>
    <font>
      <b/>
      <sz val="10"/>
      <name val="Segoe UI"/>
      <family val="2"/>
    </font>
    <font>
      <b/>
      <sz val="16"/>
      <color theme="0"/>
      <name val="Segoe UI"/>
      <family val="2"/>
    </font>
    <font>
      <sz val="11"/>
      <color rgb="FF9C5700"/>
      <name val="Aptos Narrow"/>
      <family val="2"/>
      <scheme val="minor"/>
    </font>
    <font>
      <b/>
      <sz val="10"/>
      <color theme="0"/>
      <name val="Segoe UI"/>
      <family val="2"/>
    </font>
    <font>
      <b/>
      <sz val="9"/>
      <color theme="0"/>
      <name val="Segoe UI"/>
      <family val="2"/>
    </font>
    <font>
      <b/>
      <i/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sz val="10"/>
      <color rgb="FF00000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8CC8E"/>
        <bgColor rgb="FF000000"/>
      </patternFill>
    </fill>
    <fill>
      <patternFill patternType="solid">
        <fgColor rgb="FFC8CC8E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medium">
        <color rgb="FFFFC000"/>
      </right>
      <top/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/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7" borderId="0" applyNumberFormat="0" applyBorder="0" applyAlignment="0" applyProtection="0"/>
  </cellStyleXfs>
  <cellXfs count="73">
    <xf numFmtId="0" fontId="0" fillId="0" borderId="0" xfId="0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3" fillId="5" borderId="0" xfId="0" applyFont="1" applyFill="1"/>
    <xf numFmtId="0" fontId="4" fillId="5" borderId="0" xfId="0" applyFont="1" applyFill="1"/>
    <xf numFmtId="164" fontId="2" fillId="0" borderId="20" xfId="0" applyNumberFormat="1" applyFont="1" applyBorder="1" applyAlignment="1">
      <alignment horizontal="left" indent="2"/>
    </xf>
    <xf numFmtId="10" fontId="2" fillId="0" borderId="22" xfId="0" applyNumberFormat="1" applyFont="1" applyBorder="1" applyAlignment="1">
      <alignment horizontal="left" indent="2"/>
    </xf>
    <xf numFmtId="164" fontId="2" fillId="0" borderId="24" xfId="0" applyNumberFormat="1" applyFont="1" applyBorder="1" applyAlignment="1">
      <alignment horizontal="left" indent="2"/>
    </xf>
    <xf numFmtId="0" fontId="12" fillId="3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indent="3"/>
    </xf>
    <xf numFmtId="164" fontId="4" fillId="8" borderId="7" xfId="0" applyNumberFormat="1" applyFont="1" applyFill="1" applyBorder="1" applyAlignment="1">
      <alignment horizontal="left"/>
    </xf>
    <xf numFmtId="164" fontId="4" fillId="8" borderId="5" xfId="0" applyNumberFormat="1" applyFont="1" applyFill="1" applyBorder="1" applyAlignment="1">
      <alignment horizontal="center"/>
    </xf>
    <xf numFmtId="0" fontId="4" fillId="8" borderId="8" xfId="0" applyFont="1" applyFill="1" applyBorder="1" applyAlignment="1">
      <alignment horizontal="left" indent="3"/>
    </xf>
    <xf numFmtId="164" fontId="4" fillId="8" borderId="0" xfId="0" applyNumberFormat="1" applyFont="1" applyFill="1" applyAlignment="1">
      <alignment horizontal="left"/>
    </xf>
    <xf numFmtId="164" fontId="4" fillId="8" borderId="25" xfId="0" applyNumberFormat="1" applyFont="1" applyFill="1" applyBorder="1" applyAlignment="1">
      <alignment horizontal="center"/>
    </xf>
    <xf numFmtId="0" fontId="4" fillId="8" borderId="12" xfId="0" applyFont="1" applyFill="1" applyBorder="1" applyAlignment="1">
      <alignment horizontal="left" indent="3"/>
    </xf>
    <xf numFmtId="164" fontId="4" fillId="8" borderId="13" xfId="0" applyNumberFormat="1" applyFont="1" applyFill="1" applyBorder="1" applyAlignment="1">
      <alignment horizontal="left"/>
    </xf>
    <xf numFmtId="164" fontId="4" fillId="8" borderId="26" xfId="0" applyNumberFormat="1" applyFont="1" applyFill="1" applyBorder="1" applyAlignment="1">
      <alignment horizontal="center"/>
    </xf>
    <xf numFmtId="0" fontId="2" fillId="8" borderId="19" xfId="0" applyFont="1" applyFill="1" applyBorder="1"/>
    <xf numFmtId="0" fontId="2" fillId="8" borderId="21" xfId="0" applyFont="1" applyFill="1" applyBorder="1"/>
    <xf numFmtId="0" fontId="2" fillId="8" borderId="23" xfId="0" applyFont="1" applyFill="1" applyBorder="1"/>
    <xf numFmtId="0" fontId="15" fillId="0" borderId="0" xfId="0" applyFont="1"/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0" fillId="10" borderId="0" xfId="0" applyFont="1" applyFill="1"/>
    <xf numFmtId="9" fontId="10" fillId="10" borderId="0" xfId="0" applyNumberFormat="1" applyFont="1" applyFill="1"/>
    <xf numFmtId="0" fontId="15" fillId="0" borderId="13" xfId="0" applyFont="1" applyBorder="1"/>
    <xf numFmtId="0" fontId="15" fillId="0" borderId="13" xfId="0" applyFont="1" applyBorder="1" applyAlignment="1">
      <alignment horizontal="center"/>
    </xf>
    <xf numFmtId="9" fontId="15" fillId="0" borderId="13" xfId="0" applyNumberFormat="1" applyFont="1" applyBorder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9" fontId="15" fillId="11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 indent="3"/>
    </xf>
    <xf numFmtId="164" fontId="4" fillId="4" borderId="0" xfId="0" applyNumberFormat="1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left" vertical="center" indent="3"/>
    </xf>
    <xf numFmtId="0" fontId="10" fillId="7" borderId="0" xfId="1" applyBorder="1" applyAlignment="1">
      <alignment horizontal="left" vertical="center" indent="3"/>
    </xf>
    <xf numFmtId="164" fontId="10" fillId="7" borderId="0" xfId="1" applyNumberFormat="1" applyBorder="1" applyAlignment="1">
      <alignment horizontal="left" vertical="center" indent="3"/>
    </xf>
    <xf numFmtId="0" fontId="0" fillId="5" borderId="0" xfId="0" applyFill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164" fontId="19" fillId="7" borderId="0" xfId="1" applyNumberFormat="1" applyFont="1" applyBorder="1" applyAlignment="1">
      <alignment horizontal="left" vertical="center"/>
    </xf>
    <xf numFmtId="164" fontId="4" fillId="8" borderId="0" xfId="0" applyNumberFormat="1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 indent="3"/>
    </xf>
    <xf numFmtId="164" fontId="4" fillId="8" borderId="0" xfId="0" applyNumberFormat="1" applyFont="1" applyFill="1" applyAlignment="1">
      <alignment horizontal="left" vertical="center" indent="3"/>
    </xf>
    <xf numFmtId="0" fontId="20" fillId="13" borderId="8" xfId="0" applyFont="1" applyFill="1" applyBorder="1" applyAlignment="1">
      <alignment horizontal="center"/>
    </xf>
    <xf numFmtId="9" fontId="20" fillId="13" borderId="0" xfId="0" applyNumberFormat="1" applyFont="1" applyFill="1" applyAlignment="1">
      <alignment horizontal="center" wrapText="1"/>
    </xf>
    <xf numFmtId="8" fontId="20" fillId="12" borderId="3" xfId="0" applyNumberFormat="1" applyFont="1" applyFill="1" applyBorder="1" applyAlignment="1">
      <alignment horizontal="center"/>
    </xf>
    <xf numFmtId="0" fontId="18" fillId="12" borderId="9" xfId="0" applyFont="1" applyFill="1" applyBorder="1" applyAlignment="1">
      <alignment horizontal="center"/>
    </xf>
    <xf numFmtId="0" fontId="18" fillId="12" borderId="10" xfId="0" applyFont="1" applyFill="1" applyBorder="1" applyAlignment="1">
      <alignment horizontal="center"/>
    </xf>
    <xf numFmtId="0" fontId="18" fillId="12" borderId="11" xfId="0" applyFont="1" applyFill="1" applyBorder="1" applyAlignment="1">
      <alignment horizontal="center"/>
    </xf>
    <xf numFmtId="0" fontId="18" fillId="12" borderId="27" xfId="0" applyFont="1" applyFill="1" applyBorder="1"/>
    <xf numFmtId="0" fontId="18" fillId="12" borderId="28" xfId="0" applyFont="1" applyFill="1" applyBorder="1"/>
    <xf numFmtId="8" fontId="18" fillId="12" borderId="29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left" indent="2"/>
    </xf>
    <xf numFmtId="0" fontId="5" fillId="2" borderId="16" xfId="0" applyFont="1" applyFill="1" applyBorder="1" applyAlignment="1">
      <alignment horizontal="left" indent="2"/>
    </xf>
    <xf numFmtId="8" fontId="6" fillId="2" borderId="10" xfId="0" applyNumberFormat="1" applyFont="1" applyFill="1" applyBorder="1" applyAlignment="1">
      <alignment horizontal="left" vertical="center" indent="3"/>
    </xf>
    <xf numFmtId="8" fontId="6" fillId="2" borderId="11" xfId="0" applyNumberFormat="1" applyFont="1" applyFill="1" applyBorder="1" applyAlignment="1">
      <alignment horizontal="left" vertical="center" indent="3"/>
    </xf>
    <xf numFmtId="0" fontId="7" fillId="2" borderId="9" xfId="0" applyFont="1" applyFill="1" applyBorder="1" applyAlignment="1">
      <alignment horizontal="left" vertical="center" indent="2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5" fillId="0" borderId="14" xfId="0" applyNumberFormat="1" applyFont="1" applyBorder="1" applyAlignment="1">
      <alignment horizontal="left" indent="3"/>
    </xf>
    <xf numFmtId="0" fontId="5" fillId="0" borderId="15" xfId="0" applyFont="1" applyBorder="1" applyAlignment="1">
      <alignment horizontal="left" indent="3"/>
    </xf>
    <xf numFmtId="10" fontId="5" fillId="0" borderId="16" xfId="0" applyNumberFormat="1" applyFont="1" applyBorder="1" applyAlignment="1">
      <alignment horizontal="left" indent="3"/>
    </xf>
    <xf numFmtId="49" fontId="13" fillId="0" borderId="0" xfId="0" applyNumberFormat="1" applyFont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C8C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0B-4308-82CF-63FF0D15D3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B-4308-82CF-63FF0D15D3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0B-4308-82CF-63FF0D15D3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0B-4308-82CF-63FF0D15D3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0B-4308-82CF-63FF0D15D3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0B-4308-82CF-63FF0D15D3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E-47E5-B5B8-90B9B72748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514349</xdr:colOff>
      <xdr:row>39</xdr:row>
      <xdr:rowOff>47625</xdr:rowOff>
    </xdr:from>
    <xdr:to>
      <xdr:col>3</xdr:col>
      <xdr:colOff>790574</xdr:colOff>
      <xdr:row>48</xdr:row>
      <xdr:rowOff>200025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9AE4A2-4111-B138-BF3F-248371C4E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85726</xdr:rowOff>
    </xdr:from>
    <xdr:to>
      <xdr:col>3</xdr:col>
      <xdr:colOff>1314449</xdr:colOff>
      <xdr:row>7</xdr:row>
      <xdr:rowOff>38100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F6A16C1-9BCB-FF5B-E3E5-EEAC848EFE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02" b="27758"/>
        <a:stretch>
          <a:fillRect/>
        </a:stretch>
      </xdr:blipFill>
      <xdr:spPr>
        <a:xfrm>
          <a:off x="123825" y="85726"/>
          <a:ext cx="5648324" cy="12287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C90D-C3E3-49AF-BA7A-70486E76321F}">
  <dimension ref="A1:XFC50"/>
  <sheetViews>
    <sheetView showGridLines="0" tabSelected="1" zoomScale="130" zoomScaleNormal="130" workbookViewId="0">
      <selection activeCell="E50" sqref="E5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1.7109375" customWidth="1"/>
    <col min="2" max="2" width="42.28515625" customWidth="1"/>
    <col min="3" max="3" width="22.85546875" customWidth="1"/>
    <col min="4" max="4" width="19.7109375" style="1" customWidth="1"/>
    <col min="5" max="5" width="1.5703125" customWidth="1"/>
    <col min="6" max="6" width="2.7109375" hidden="1" customWidth="1"/>
    <col min="7" max="7" width="24.7109375" hidden="1" customWidth="1"/>
    <col min="8" max="8" width="9.140625" hidden="1" customWidth="1"/>
    <col min="9" max="9" width="0" hidden="1" customWidth="1"/>
    <col min="16382" max="16382" width="2.85546875" hidden="1" customWidth="1"/>
    <col min="16383" max="16383" width="2.28515625" hidden="1"/>
    <col min="16384" max="16384" width="1.42578125" hidden="1"/>
  </cols>
  <sheetData>
    <row r="1" spans="2:4" s="2" customFormat="1" ht="10.5" customHeight="1" x14ac:dyDescent="0.25"/>
    <row r="2" spans="2:4" s="2" customFormat="1" x14ac:dyDescent="0.25"/>
    <row r="3" spans="2:4" s="2" customFormat="1" x14ac:dyDescent="0.25"/>
    <row r="4" spans="2:4" s="2" customFormat="1" x14ac:dyDescent="0.25"/>
    <row r="5" spans="2:4" s="2" customFormat="1" x14ac:dyDescent="0.25"/>
    <row r="6" spans="2:4" s="2" customFormat="1" x14ac:dyDescent="0.25"/>
    <row r="7" spans="2:4" s="2" customFormat="1" x14ac:dyDescent="0.25"/>
    <row r="8" spans="2:4" s="2" customFormat="1" ht="15.75" thickBot="1" x14ac:dyDescent="0.3">
      <c r="B8"/>
      <c r="C8"/>
      <c r="D8" s="1"/>
    </row>
    <row r="9" spans="2:4" s="2" customFormat="1" ht="15.75" thickBot="1" x14ac:dyDescent="0.3">
      <c r="B9" s="71" t="s">
        <v>7</v>
      </c>
      <c r="C9" s="61" t="s">
        <v>5</v>
      </c>
      <c r="D9" s="62"/>
    </row>
    <row r="10" spans="2:4" s="2" customFormat="1" x14ac:dyDescent="0.25">
      <c r="B10" s="71"/>
      <c r="C10" s="19" t="s">
        <v>2</v>
      </c>
      <c r="D10" s="6">
        <v>12000</v>
      </c>
    </row>
    <row r="11" spans="2:4" s="2" customFormat="1" x14ac:dyDescent="0.25">
      <c r="B11" s="71"/>
      <c r="C11" s="20" t="s">
        <v>3</v>
      </c>
      <c r="D11" s="7">
        <v>6.0000000000000001E-3</v>
      </c>
    </row>
    <row r="12" spans="2:4" s="2" customFormat="1" ht="15.75" thickBot="1" x14ac:dyDescent="0.3">
      <c r="B12" s="71"/>
      <c r="C12" s="21" t="s">
        <v>4</v>
      </c>
      <c r="D12" s="8">
        <f>D10* 30%</f>
        <v>3600</v>
      </c>
    </row>
    <row r="13" spans="2:4" s="2" customFormat="1" ht="6" customHeight="1" thickBot="1" x14ac:dyDescent="0.3">
      <c r="B13" s="72"/>
      <c r="C13"/>
      <c r="D13" s="1"/>
    </row>
    <row r="14" spans="2:4" s="2" customFormat="1" ht="30" customHeight="1" x14ac:dyDescent="0.25">
      <c r="B14" s="65" t="s">
        <v>0</v>
      </c>
      <c r="C14" s="66"/>
      <c r="D14" s="67"/>
    </row>
    <row r="15" spans="2:4" s="3" customFormat="1" ht="20.25" x14ac:dyDescent="0.35">
      <c r="B15" s="56" t="s">
        <v>43</v>
      </c>
      <c r="C15" s="68">
        <v>3600</v>
      </c>
      <c r="D15" s="68"/>
    </row>
    <row r="16" spans="2:4" s="2" customFormat="1" ht="20.25" x14ac:dyDescent="0.35">
      <c r="B16" s="56" t="s">
        <v>44</v>
      </c>
      <c r="C16" s="69">
        <v>5</v>
      </c>
      <c r="D16" s="69"/>
    </row>
    <row r="17" spans="1:5" s="2" customFormat="1" ht="21" thickBot="1" x14ac:dyDescent="0.4">
      <c r="B17" s="57" t="s">
        <v>45</v>
      </c>
      <c r="C17" s="70">
        <v>1.0999999999999999E-2</v>
      </c>
      <c r="D17" s="70"/>
    </row>
    <row r="18" spans="1:5" s="2" customFormat="1" ht="15.75" thickBot="1" x14ac:dyDescent="0.3">
      <c r="B18" s="60" t="s">
        <v>46</v>
      </c>
      <c r="C18" s="58">
        <f>FV(TaxaMensal,QtsAnos*12,Aporte)*-1</f>
        <v>303654.3279202276</v>
      </c>
      <c r="D18" s="59"/>
    </row>
    <row r="19" spans="1:5" s="2" customFormat="1" ht="30" customHeight="1" thickBot="1" x14ac:dyDescent="0.3">
      <c r="B19" s="60"/>
      <c r="C19" s="58"/>
      <c r="D19" s="59"/>
    </row>
    <row r="20" spans="1:5" s="2" customFormat="1" ht="15.75" thickBot="1" x14ac:dyDescent="0.3">
      <c r="B20" s="60" t="s">
        <v>47</v>
      </c>
      <c r="C20" s="58">
        <f>Patrimonio*RendCarteira</f>
        <v>1821.9259675213657</v>
      </c>
      <c r="D20" s="59"/>
    </row>
    <row r="21" spans="1:5" s="2" customFormat="1" ht="23.25" customHeight="1" thickBot="1" x14ac:dyDescent="0.3">
      <c r="B21" s="60"/>
      <c r="C21" s="58"/>
      <c r="D21" s="59"/>
    </row>
    <row r="22" spans="1:5" ht="10.5" customHeight="1" thickBot="1" x14ac:dyDescent="0.35">
      <c r="A22" s="2"/>
      <c r="B22" s="5"/>
      <c r="C22" s="5"/>
      <c r="D22" s="5"/>
      <c r="E22" s="2"/>
    </row>
    <row r="23" spans="1:5" ht="19.5" customHeight="1" thickBot="1" x14ac:dyDescent="0.3">
      <c r="A23" s="2"/>
      <c r="B23" s="63" t="s">
        <v>6</v>
      </c>
      <c r="C23" s="64"/>
      <c r="D23" s="9" t="s">
        <v>1</v>
      </c>
      <c r="E23" s="2"/>
    </row>
    <row r="24" spans="1:5" ht="16.5" x14ac:dyDescent="0.3">
      <c r="A24" s="4">
        <v>2</v>
      </c>
      <c r="B24" s="10" t="s">
        <v>48</v>
      </c>
      <c r="C24" s="11">
        <f>FV($C17,$A24*12,$C15) *-1</f>
        <v>98264.490521924803</v>
      </c>
      <c r="D24" s="12">
        <f>C24*D11</f>
        <v>589.58694313154888</v>
      </c>
      <c r="E24" s="2"/>
    </row>
    <row r="25" spans="1:5" ht="16.5" x14ac:dyDescent="0.3">
      <c r="A25" s="4">
        <v>5</v>
      </c>
      <c r="B25" s="13" t="s">
        <v>49</v>
      </c>
      <c r="C25" s="14">
        <f>FV($C17,$A25*12,$C15) *-1</f>
        <v>303654.3279202276</v>
      </c>
      <c r="D25" s="15">
        <f>C25*D11</f>
        <v>1821.9259675213657</v>
      </c>
      <c r="E25" s="2"/>
    </row>
    <row r="26" spans="1:5" ht="16.5" x14ac:dyDescent="0.3">
      <c r="A26" s="4">
        <v>10</v>
      </c>
      <c r="B26" s="13" t="s">
        <v>50</v>
      </c>
      <c r="C26" s="14">
        <f>FV($C17,$A26*12,$C15) *-1</f>
        <v>889049.06126032607</v>
      </c>
      <c r="D26" s="15">
        <f>C26*D11</f>
        <v>5334.2943675619563</v>
      </c>
      <c r="E26" s="2"/>
    </row>
    <row r="27" spans="1:5" ht="16.5" x14ac:dyDescent="0.3">
      <c r="A27" s="4">
        <v>20</v>
      </c>
      <c r="B27" s="13" t="s">
        <v>51</v>
      </c>
      <c r="C27" s="14">
        <f>FV($C17,$A27*12,$C15) *-1</f>
        <v>4193234.3910224671</v>
      </c>
      <c r="D27" s="15">
        <f>C27*D11</f>
        <v>25159.406346134801</v>
      </c>
      <c r="E27" s="2"/>
    </row>
    <row r="28" spans="1:5" ht="17.25" thickBot="1" x14ac:dyDescent="0.35">
      <c r="A28" s="4">
        <v>30</v>
      </c>
      <c r="B28" s="16" t="s">
        <v>52</v>
      </c>
      <c r="C28" s="17">
        <f>FV($C17,$A28*12,$C15) *-1</f>
        <v>16473367.365842078</v>
      </c>
      <c r="D28" s="18">
        <f>C28*D11</f>
        <v>98840.204195052473</v>
      </c>
      <c r="E28" s="2"/>
    </row>
    <row r="29" spans="1:5" ht="12" customHeight="1" x14ac:dyDescent="0.25">
      <c r="A29" s="2"/>
      <c r="B29" s="2"/>
      <c r="C29" s="2"/>
      <c r="D29" s="2"/>
      <c r="E29" s="2"/>
    </row>
    <row r="30" spans="1:5" s="42" customFormat="1" ht="21.75" customHeight="1" x14ac:dyDescent="0.25">
      <c r="A30" s="38"/>
      <c r="B30" s="39" t="s">
        <v>9</v>
      </c>
      <c r="C30" s="43" t="s">
        <v>42</v>
      </c>
      <c r="D30" s="40"/>
      <c r="E30" s="41"/>
    </row>
    <row r="31" spans="1:5" ht="25.5" customHeight="1" thickBot="1" x14ac:dyDescent="0.3">
      <c r="A31" s="4"/>
      <c r="B31" s="45" t="s">
        <v>39</v>
      </c>
      <c r="C31" s="44">
        <f>Aporte</f>
        <v>3600</v>
      </c>
      <c r="D31" s="46"/>
      <c r="E31" s="2"/>
    </row>
    <row r="32" spans="1:5" ht="15.75" thickBot="1" x14ac:dyDescent="0.3">
      <c r="A32" s="4"/>
      <c r="B32" s="50" t="s">
        <v>10</v>
      </c>
      <c r="C32" s="51" t="s">
        <v>40</v>
      </c>
      <c r="D32" s="52" t="s">
        <v>41</v>
      </c>
      <c r="E32" s="2"/>
    </row>
    <row r="33" spans="1:5" x14ac:dyDescent="0.25">
      <c r="A33" s="4"/>
      <c r="B33" s="47" t="s">
        <v>14</v>
      </c>
      <c r="C33" s="48">
        <f>VLOOKUP($C$30&amp;"-"&amp;B33,Tab_aux!$A$1:$D$20,4,FALSE)</f>
        <v>0.32</v>
      </c>
      <c r="D33" s="49">
        <f t="shared" ref="D33:D38" si="0">C33*Aporte</f>
        <v>1152</v>
      </c>
      <c r="E33" s="2"/>
    </row>
    <row r="34" spans="1:5" x14ac:dyDescent="0.25">
      <c r="A34" s="4"/>
      <c r="B34" s="47" t="s">
        <v>16</v>
      </c>
      <c r="C34" s="48">
        <f>VLOOKUP($C$30&amp;"-"&amp;B34,Tab_aux!$A$1:$D$20,4,FALSE)</f>
        <v>0.35</v>
      </c>
      <c r="D34" s="49">
        <f t="shared" si="0"/>
        <v>1260</v>
      </c>
      <c r="E34" s="2"/>
    </row>
    <row r="35" spans="1:5" x14ac:dyDescent="0.25">
      <c r="A35" s="4"/>
      <c r="B35" s="47" t="s">
        <v>19</v>
      </c>
      <c r="C35" s="48">
        <f>VLOOKUP($C$30&amp;"-"&amp;B35,Tab_aux!$A$1:$D$20,4,FALSE)</f>
        <v>0.08</v>
      </c>
      <c r="D35" s="49">
        <f t="shared" si="0"/>
        <v>288</v>
      </c>
      <c r="E35" s="2"/>
    </row>
    <row r="36" spans="1:5" x14ac:dyDescent="0.25">
      <c r="A36" s="4"/>
      <c r="B36" s="47" t="s">
        <v>21</v>
      </c>
      <c r="C36" s="48">
        <f>VLOOKUP($C$30&amp;"-"&amp;B36,Tab_aux!$A$1:$D$20,4,FALSE)</f>
        <v>0.05</v>
      </c>
      <c r="D36" s="49">
        <f t="shared" si="0"/>
        <v>180</v>
      </c>
      <c r="E36" s="2"/>
    </row>
    <row r="37" spans="1:5" x14ac:dyDescent="0.25">
      <c r="A37" s="4"/>
      <c r="B37" s="47" t="s">
        <v>23</v>
      </c>
      <c r="C37" s="48">
        <f>VLOOKUP($C$30&amp;"-"&amp;B37,Tab_aux!$A$1:$D$20,4,FALSE)</f>
        <v>0.1</v>
      </c>
      <c r="D37" s="49">
        <f t="shared" si="0"/>
        <v>360</v>
      </c>
      <c r="E37" s="2"/>
    </row>
    <row r="38" spans="1:5" x14ac:dyDescent="0.25">
      <c r="A38" s="4"/>
      <c r="B38" s="47" t="s">
        <v>25</v>
      </c>
      <c r="C38" s="48">
        <f>VLOOKUP($C$30&amp;"-"&amp;B38,Tab_aux!$A$1:$D$20,4,FALSE)</f>
        <v>0.1</v>
      </c>
      <c r="D38" s="49">
        <f t="shared" si="0"/>
        <v>360</v>
      </c>
      <c r="E38" s="2"/>
    </row>
    <row r="39" spans="1:5" ht="15.75" thickBot="1" x14ac:dyDescent="0.3">
      <c r="A39" s="4"/>
      <c r="B39" s="53"/>
      <c r="C39" s="54"/>
      <c r="D39" s="55">
        <f>SUM(D33:D38)</f>
        <v>3600</v>
      </c>
      <c r="E39" s="2"/>
    </row>
    <row r="40" spans="1:5" ht="16.5" x14ac:dyDescent="0.3">
      <c r="A40" s="4"/>
      <c r="B40" s="35"/>
      <c r="C40" s="36"/>
      <c r="D40" s="37"/>
      <c r="E40" s="2"/>
    </row>
    <row r="41" spans="1:5" ht="16.5" x14ac:dyDescent="0.3">
      <c r="A41" s="4"/>
      <c r="B41" s="35"/>
      <c r="C41" s="36"/>
      <c r="D41" s="37"/>
      <c r="E41" s="2"/>
    </row>
    <row r="42" spans="1:5" ht="16.5" x14ac:dyDescent="0.3">
      <c r="A42" s="4"/>
      <c r="B42" s="35"/>
      <c r="C42" s="36"/>
      <c r="D42" s="37"/>
      <c r="E42" s="2"/>
    </row>
    <row r="43" spans="1:5" ht="16.5" x14ac:dyDescent="0.3">
      <c r="A43" s="4"/>
      <c r="B43" s="35"/>
      <c r="C43" s="36"/>
      <c r="D43" s="37"/>
      <c r="E43" s="2"/>
    </row>
    <row r="44" spans="1:5" ht="16.5" x14ac:dyDescent="0.3">
      <c r="A44" s="4"/>
      <c r="B44" s="35"/>
      <c r="C44" s="36"/>
      <c r="D44" s="37"/>
      <c r="E44" s="2"/>
    </row>
    <row r="45" spans="1:5" ht="16.5" x14ac:dyDescent="0.3">
      <c r="A45" s="4"/>
      <c r="B45" s="35"/>
      <c r="C45" s="36"/>
      <c r="D45" s="37"/>
      <c r="E45" s="2"/>
    </row>
    <row r="46" spans="1:5" ht="16.5" x14ac:dyDescent="0.3">
      <c r="A46" s="4"/>
      <c r="B46" s="35"/>
      <c r="C46" s="36"/>
      <c r="D46" s="37"/>
      <c r="E46" s="2"/>
    </row>
    <row r="47" spans="1:5" ht="16.5" x14ac:dyDescent="0.3">
      <c r="A47" s="4"/>
      <c r="B47" s="35"/>
      <c r="C47" s="36"/>
      <c r="D47" s="37"/>
      <c r="E47" s="2"/>
    </row>
    <row r="48" spans="1:5" ht="16.5" x14ac:dyDescent="0.3">
      <c r="A48" s="4"/>
      <c r="B48" s="35"/>
      <c r="C48" s="36"/>
      <c r="D48" s="37"/>
      <c r="E48" s="2"/>
    </row>
    <row r="49" spans="1:5" ht="16.5" x14ac:dyDescent="0.3">
      <c r="A49" s="4"/>
      <c r="B49" s="35"/>
      <c r="C49" s="36"/>
      <c r="D49" s="37"/>
      <c r="E49" s="2"/>
    </row>
    <row r="50" spans="1:5" x14ac:dyDescent="0.25">
      <c r="A50" s="2"/>
      <c r="B50" s="2"/>
      <c r="C50" s="2"/>
      <c r="D50" s="2"/>
      <c r="E50" s="2"/>
    </row>
  </sheetData>
  <mergeCells count="11">
    <mergeCell ref="C18:D19"/>
    <mergeCell ref="B20:B21"/>
    <mergeCell ref="C20:D21"/>
    <mergeCell ref="C9:D9"/>
    <mergeCell ref="B23:C23"/>
    <mergeCell ref="B14:D14"/>
    <mergeCell ref="C15:D15"/>
    <mergeCell ref="C16:D16"/>
    <mergeCell ref="C17:D17"/>
    <mergeCell ref="B18:B19"/>
    <mergeCell ref="B9:B13"/>
  </mergeCells>
  <dataValidations count="1">
    <dataValidation type="list" allowBlank="1" showInputMessage="1" showErrorMessage="1" sqref="C30" xr:uid="{C5D2BAA1-EB15-420F-BB64-E7505571EDA6}">
      <formula1>"CONSERVADOR, MODERADO, AGRESSIVO"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5624-BE64-487D-B461-E1DFC2BFADC3}">
  <dimension ref="A1:H21"/>
  <sheetViews>
    <sheetView showGridLines="0" workbookViewId="0">
      <selection activeCell="D13" sqref="D13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4.5703125" bestFit="1" customWidth="1"/>
    <col min="7" max="7" width="16.85546875" bestFit="1" customWidth="1"/>
    <col min="8" max="8" width="6.7109375" customWidth="1"/>
  </cols>
  <sheetData>
    <row r="1" spans="1:8" x14ac:dyDescent="0.25">
      <c r="A1" s="22"/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8</v>
      </c>
      <c r="B2" s="23" t="s">
        <v>9</v>
      </c>
      <c r="C2" s="24" t="s">
        <v>10</v>
      </c>
      <c r="D2" s="24" t="s">
        <v>11</v>
      </c>
      <c r="E2" s="22"/>
      <c r="F2" s="22"/>
      <c r="G2" s="22"/>
      <c r="H2" s="22"/>
    </row>
    <row r="3" spans="1:8" x14ac:dyDescent="0.25">
      <c r="A3" s="22" t="s">
        <v>12</v>
      </c>
      <c r="B3" s="22" t="s">
        <v>13</v>
      </c>
      <c r="C3" s="25" t="s">
        <v>14</v>
      </c>
      <c r="D3" s="26">
        <v>0.3</v>
      </c>
      <c r="E3" s="22"/>
      <c r="F3" s="22"/>
      <c r="G3" s="22"/>
      <c r="H3" s="22" t="s">
        <v>11</v>
      </c>
    </row>
    <row r="4" spans="1:8" x14ac:dyDescent="0.25">
      <c r="A4" s="22" t="s">
        <v>15</v>
      </c>
      <c r="B4" s="22" t="s">
        <v>13</v>
      </c>
      <c r="C4" s="25" t="s">
        <v>16</v>
      </c>
      <c r="D4" s="26">
        <v>0.5</v>
      </c>
      <c r="E4" s="22"/>
      <c r="F4" s="22"/>
      <c r="G4" s="27" t="s">
        <v>17</v>
      </c>
      <c r="H4" s="28">
        <f>VLOOKUP(G4,$A$1:$D$20,4,FALSE)</f>
        <v>0.35</v>
      </c>
    </row>
    <row r="5" spans="1:8" x14ac:dyDescent="0.25">
      <c r="A5" s="22" t="s">
        <v>18</v>
      </c>
      <c r="B5" s="22" t="s">
        <v>13</v>
      </c>
      <c r="C5" s="25" t="s">
        <v>19</v>
      </c>
      <c r="D5" s="26">
        <v>0.1</v>
      </c>
      <c r="E5" s="22"/>
      <c r="F5" s="22"/>
      <c r="G5" s="22"/>
      <c r="H5" s="22"/>
    </row>
    <row r="6" spans="1:8" x14ac:dyDescent="0.25">
      <c r="A6" s="22" t="s">
        <v>20</v>
      </c>
      <c r="B6" s="22" t="s">
        <v>13</v>
      </c>
      <c r="C6" s="25" t="s">
        <v>21</v>
      </c>
      <c r="D6" s="26">
        <v>0.1</v>
      </c>
      <c r="E6" s="22"/>
      <c r="F6" s="22"/>
      <c r="G6" s="22"/>
      <c r="H6" s="22"/>
    </row>
    <row r="7" spans="1:8" x14ac:dyDescent="0.25">
      <c r="A7" s="22" t="s">
        <v>22</v>
      </c>
      <c r="B7" s="22" t="s">
        <v>13</v>
      </c>
      <c r="C7" s="25" t="s">
        <v>23</v>
      </c>
      <c r="D7" s="26">
        <v>0</v>
      </c>
      <c r="E7" s="22"/>
      <c r="F7" s="22"/>
      <c r="G7" s="22"/>
      <c r="H7" s="22"/>
    </row>
    <row r="8" spans="1:8" ht="15.75" thickBot="1" x14ac:dyDescent="0.3">
      <c r="A8" s="29" t="s">
        <v>24</v>
      </c>
      <c r="B8" s="29" t="s">
        <v>13</v>
      </c>
      <c r="C8" s="30" t="s">
        <v>25</v>
      </c>
      <c r="D8" s="31">
        <v>0</v>
      </c>
      <c r="E8" s="22"/>
      <c r="F8" s="22"/>
      <c r="G8" s="22"/>
      <c r="H8" s="22"/>
    </row>
    <row r="9" spans="1:8" x14ac:dyDescent="0.25">
      <c r="A9" s="22" t="s">
        <v>26</v>
      </c>
      <c r="B9" s="22" t="s">
        <v>27</v>
      </c>
      <c r="C9" s="25" t="s">
        <v>14</v>
      </c>
      <c r="D9" s="26">
        <v>0.32</v>
      </c>
      <c r="E9" s="22"/>
      <c r="F9" s="22"/>
      <c r="G9" s="22"/>
      <c r="H9" s="22"/>
    </row>
    <row r="10" spans="1:8" x14ac:dyDescent="0.25">
      <c r="A10" s="32" t="s">
        <v>17</v>
      </c>
      <c r="B10" s="32" t="s">
        <v>27</v>
      </c>
      <c r="C10" s="33" t="s">
        <v>16</v>
      </c>
      <c r="D10" s="34">
        <v>0.35</v>
      </c>
      <c r="E10" s="22"/>
      <c r="F10" s="22"/>
      <c r="G10" s="22"/>
      <c r="H10" s="22"/>
    </row>
    <row r="11" spans="1:8" x14ac:dyDescent="0.25">
      <c r="A11" s="22" t="s">
        <v>28</v>
      </c>
      <c r="B11" s="22" t="s">
        <v>27</v>
      </c>
      <c r="C11" s="25" t="s">
        <v>19</v>
      </c>
      <c r="D11" s="26">
        <v>0.08</v>
      </c>
      <c r="E11" s="22"/>
      <c r="F11" s="22"/>
      <c r="G11" s="22"/>
      <c r="H11" s="22"/>
    </row>
    <row r="12" spans="1:8" x14ac:dyDescent="0.25">
      <c r="A12" s="22" t="s">
        <v>29</v>
      </c>
      <c r="B12" s="22" t="s">
        <v>27</v>
      </c>
      <c r="C12" s="25" t="s">
        <v>21</v>
      </c>
      <c r="D12" s="26">
        <v>0.05</v>
      </c>
      <c r="E12" s="22"/>
      <c r="F12" s="22"/>
      <c r="G12" s="22"/>
      <c r="H12" s="22"/>
    </row>
    <row r="13" spans="1:8" x14ac:dyDescent="0.25">
      <c r="A13" s="22" t="s">
        <v>30</v>
      </c>
      <c r="B13" s="22" t="s">
        <v>27</v>
      </c>
      <c r="C13" s="25" t="s">
        <v>23</v>
      </c>
      <c r="D13" s="26">
        <v>0.1</v>
      </c>
      <c r="E13" s="22"/>
      <c r="F13" s="22"/>
      <c r="G13" s="22"/>
      <c r="H13" s="22"/>
    </row>
    <row r="14" spans="1:8" ht="15.75" thickBot="1" x14ac:dyDescent="0.3">
      <c r="A14" s="29" t="s">
        <v>31</v>
      </c>
      <c r="B14" s="29" t="s">
        <v>27</v>
      </c>
      <c r="C14" s="30" t="s">
        <v>25</v>
      </c>
      <c r="D14" s="31">
        <v>0.1</v>
      </c>
      <c r="E14" s="22"/>
      <c r="F14" s="22"/>
      <c r="G14" s="22"/>
      <c r="H14" s="22"/>
    </row>
    <row r="15" spans="1:8" x14ac:dyDescent="0.25">
      <c r="A15" s="22" t="s">
        <v>32</v>
      </c>
      <c r="B15" s="22" t="s">
        <v>33</v>
      </c>
      <c r="C15" s="25" t="s">
        <v>14</v>
      </c>
      <c r="D15" s="26">
        <v>0.5</v>
      </c>
      <c r="E15" s="22"/>
      <c r="F15" s="22"/>
      <c r="G15" s="22"/>
      <c r="H15" s="22"/>
    </row>
    <row r="16" spans="1:8" x14ac:dyDescent="0.25">
      <c r="A16" s="22" t="s">
        <v>34</v>
      </c>
      <c r="B16" s="22" t="s">
        <v>33</v>
      </c>
      <c r="C16" s="25" t="s">
        <v>16</v>
      </c>
      <c r="D16" s="26">
        <v>0.1</v>
      </c>
      <c r="E16" s="22"/>
      <c r="F16" s="22"/>
      <c r="G16" s="22"/>
      <c r="H16" s="22"/>
    </row>
    <row r="17" spans="1:8" x14ac:dyDescent="0.25">
      <c r="A17" s="22" t="s">
        <v>35</v>
      </c>
      <c r="B17" s="22" t="s">
        <v>33</v>
      </c>
      <c r="C17" s="25" t="s">
        <v>19</v>
      </c>
      <c r="D17" s="26">
        <v>0.05</v>
      </c>
      <c r="E17" s="22"/>
      <c r="F17" s="22"/>
      <c r="G17" s="22"/>
      <c r="H17" s="22"/>
    </row>
    <row r="18" spans="1:8" x14ac:dyDescent="0.25">
      <c r="A18" s="22" t="s">
        <v>36</v>
      </c>
      <c r="B18" s="22" t="s">
        <v>33</v>
      </c>
      <c r="C18" s="25" t="s">
        <v>21</v>
      </c>
      <c r="D18" s="26">
        <v>0.05</v>
      </c>
      <c r="E18" s="22"/>
      <c r="F18" s="22"/>
      <c r="G18" s="22"/>
      <c r="H18" s="22"/>
    </row>
    <row r="19" spans="1:8" x14ac:dyDescent="0.25">
      <c r="A19" s="22" t="s">
        <v>37</v>
      </c>
      <c r="B19" s="22" t="s">
        <v>33</v>
      </c>
      <c r="C19" s="25" t="s">
        <v>23</v>
      </c>
      <c r="D19" s="26">
        <v>0.2</v>
      </c>
      <c r="E19" s="22"/>
      <c r="F19" s="22"/>
      <c r="G19" s="22"/>
      <c r="H19" s="22"/>
    </row>
    <row r="20" spans="1:8" x14ac:dyDescent="0.25">
      <c r="A20" s="22" t="s">
        <v>38</v>
      </c>
      <c r="B20" s="22" t="s">
        <v>33</v>
      </c>
      <c r="C20" s="25" t="s">
        <v>25</v>
      </c>
      <c r="D20" s="26">
        <v>0.1</v>
      </c>
      <c r="E20" s="22"/>
      <c r="F20" s="22"/>
      <c r="G20" s="22"/>
      <c r="H20" s="22"/>
    </row>
    <row r="21" spans="1:8" x14ac:dyDescent="0.25">
      <c r="A21" s="22"/>
      <c r="B21" s="22"/>
      <c r="C21" s="22"/>
      <c r="D21" s="25"/>
      <c r="E21" s="22"/>
      <c r="F21" s="22"/>
      <c r="G21" s="22"/>
      <c r="H2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7</vt:i4>
      </vt:variant>
    </vt:vector>
  </HeadingPairs>
  <TitlesOfParts>
    <vt:vector size="9" baseType="lpstr">
      <vt:lpstr>simulador</vt:lpstr>
      <vt:lpstr>Tab_aux</vt:lpstr>
      <vt:lpstr>Aporte</vt:lpstr>
      <vt:lpstr>Patrimonio</vt:lpstr>
      <vt:lpstr>QtsAnos</vt:lpstr>
      <vt:lpstr>RendCarteira</vt:lpstr>
      <vt:lpstr>Salario</vt:lpstr>
      <vt:lpstr>SugestaoInvestimento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Lopes</dc:creator>
  <cp:lastModifiedBy>Luciana Lopes</cp:lastModifiedBy>
  <dcterms:created xsi:type="dcterms:W3CDTF">2026-01-30T16:51:29Z</dcterms:created>
  <dcterms:modified xsi:type="dcterms:W3CDTF">2026-01-30T20:51:09Z</dcterms:modified>
</cp:coreProperties>
</file>